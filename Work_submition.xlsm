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F258912D-53BE-4297-9AD6-2722B2FB224D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2" i="1" l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43" i="1"/>
  <c r="V4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S39" i="1" a="1"/>
  <c r="T39" i="1" a="1"/>
  <c r="U38" i="1" a="1"/>
  <c r="S23" i="1" a="1"/>
  <c r="U23" i="1" a="1"/>
  <c r="U27" i="1" a="1"/>
  <c r="U29" i="1" a="1"/>
  <c r="U31" i="1" a="1"/>
  <c r="S33" i="1" a="1"/>
  <c r="U35" i="1" a="1"/>
  <c r="U36" i="1" a="1"/>
  <c r="U37" i="1" a="1"/>
  <c r="T26" i="1" a="1"/>
  <c r="U33" i="1" a="1"/>
  <c r="U39" i="1" a="1"/>
  <c r="T27" i="1" a="1"/>
  <c r="S26" i="1" a="1"/>
  <c r="T28" i="1" a="1"/>
  <c r="T29" i="1" a="1"/>
  <c r="T32" i="1" a="1"/>
  <c r="U34" i="1" a="1"/>
  <c r="T35" i="1" a="1"/>
  <c r="U26" i="1" a="1"/>
  <c r="T30" i="1" a="1"/>
  <c r="T36" i="1" a="1"/>
  <c r="T23" i="1" a="1"/>
  <c r="U25" i="1" a="1"/>
  <c r="S28" i="1" a="1"/>
  <c r="U30" i="1" a="1"/>
  <c r="T33" i="1" a="1"/>
  <c r="R33" i="1" a="1"/>
  <c r="S36" i="1" a="1"/>
  <c r="U24" i="1" a="1"/>
  <c r="U28" i="1" a="1"/>
  <c r="T34" i="1" a="1"/>
  <c r="S41" i="1" a="1"/>
  <c r="T41" i="1" a="1"/>
  <c r="U41" i="1" a="1"/>
  <c r="S40" i="1" a="1"/>
  <c r="T40" i="1" a="1"/>
  <c r="U40" i="1" a="1"/>
  <c r="U42" i="1" a="1"/>
  <c r="U42" i="1" l="1"/>
  <c r="S41" i="1"/>
  <c r="T41" i="1"/>
  <c r="U41" i="1"/>
  <c r="S40" i="1"/>
  <c r="T40" i="1"/>
  <c r="U40" i="1"/>
  <c r="S39" i="1"/>
  <c r="T39" i="1"/>
  <c r="U39" i="1"/>
  <c r="U38" i="1"/>
  <c r="U37" i="1"/>
  <c r="S36" i="1"/>
  <c r="T36" i="1"/>
  <c r="U36" i="1"/>
  <c r="T35" i="1"/>
  <c r="U35" i="1"/>
  <c r="T34" i="1"/>
  <c r="U34" i="1"/>
  <c r="R33" i="1"/>
  <c r="S33" i="1"/>
  <c r="T33" i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<sst xmlns="http://schemas.openxmlformats.org/spreadsheetml/2006/main" count="46" uniqueCount="41">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</sst>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38" zoomScaleNormal="100" workbookViewId="0">
      <selection activeCell="T43" sqref="T43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">
      <c r="M33" s="1"/>
      <c r="N33" s="1"/>
      <c r="O33" s="1"/>
      <c r="P33" s="1"/>
      <c r="Q33" s="1"/>
      <c r="R33" s="3" t="str" cm="1">
        <f t="array" ref="R33">myUpdate("bjj",1)</f>
        <v>Brazilian Jiu Jitsu 1 hours</v>
      </c>
      <c r="S33" s="3" t="str" cm="1">
        <f t="array" ref="S33">myUpdate("net",3)</f>
        <v>Computer Networking 3 hours</v>
      </c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">
      <c r="M34" s="1"/>
      <c r="N34" s="1"/>
      <c r="O34" s="1"/>
      <c r="P34" s="1"/>
      <c r="Q34" s="1"/>
      <c r="R34" s="3"/>
      <c r="S34" s="3"/>
      <c r="T34" s="3" t="str" cm="1">
        <f t="array" ref="T34">myUpdate("net",8)</f>
        <v>Computer Networking 8 hours</v>
      </c>
      <c r="U34" s="3" t="str" cm="1">
        <f t="array" ref="U34">myUpdate("Orientation conference",3)</f>
        <v>Orientation conference 3 hours</v>
      </c>
      <c r="V34" s="4">
        <f>DATE(2022,2,22)</f>
        <v>43152</v>
      </c>
    </row>
    <row r="35" spans="13:22" ht="50.1" customHeight="1" x14ac:dyDescent="0.2">
      <c r="M35" s="1"/>
      <c r="N35" s="1"/>
      <c r="O35" s="1"/>
      <c r="P35" s="1"/>
      <c r="Q35" s="1"/>
      <c r="R35" s="3"/>
      <c r="S35" s="3"/>
      <c r="T35" s="3" t="str" cm="1">
        <f t="array" ref="T35">myUpdate("wrestl",1)</f>
        <v>Wrestling practice 1 hours</v>
      </c>
      <c r="U35" s="3" t="str" cm="1">
        <f t="array" ref="U35">myUpdate("net",7)</f>
        <v>Computer Networking 7 hours</v>
      </c>
      <c r="V35" s="4">
        <f>DATE(2022,2,23)</f>
        <v>43153</v>
      </c>
    </row>
    <row r="36" spans="13:22" ht="50.1" customHeight="1" x14ac:dyDescent="0.2">
      <c r="M36" s="1"/>
      <c r="N36" s="1"/>
      <c r="O36" s="1"/>
      <c r="P36" s="1"/>
      <c r="Q36" s="1"/>
      <c r="R36" s="3"/>
      <c r="S36" s="3" t="str" cm="1">
        <f t="array" ref="S36">myUpdate("os",1.5)</f>
        <v>Operating Systems class 1.5 hours</v>
      </c>
      <c r="T36" s="3" t="str" cm="1">
        <f t="array" ref="T36">myUpdate("ss2",2.5)</f>
        <v>C++ class 2.5 hours</v>
      </c>
      <c r="U36" s="3" t="str" cm="1">
        <f t="array" ref="U36">myUpdate("his",1.5)</f>
        <v>Moreshet class 1.5 hours</v>
      </c>
      <c r="V36" s="4">
        <f>DATE(2022,2,24)</f>
        <v>43154</v>
      </c>
    </row>
    <row r="37" spans="13:22" ht="50.1" customHeight="1" x14ac:dyDescent="0.2">
      <c r="M37" s="1"/>
      <c r="N37" s="1"/>
      <c r="O37" s="1"/>
      <c r="P37" s="1"/>
      <c r="Q37" s="1"/>
      <c r="R37" s="3"/>
      <c r="S37" s="3"/>
      <c r="T37" s="3"/>
      <c r="U37" s="3" t="str" cm="1">
        <f t="array" ref="U37">myUpdate("net",2)</f>
        <v>Computer Networking 2 hours</v>
      </c>
      <c r="V37" s="4">
        <f>DATE(2022,2,25)</f>
        <v>43155</v>
      </c>
    </row>
    <row r="38" spans="13:22" ht="50.1" customHeight="1" x14ac:dyDescent="0.2">
      <c r="M38" s="1"/>
      <c r="N38" s="1"/>
      <c r="O38" s="1"/>
      <c r="P38" s="1"/>
      <c r="Q38" s="1"/>
      <c r="R38" s="3"/>
      <c r="S38" s="3"/>
      <c r="T38" s="3"/>
      <c r="U38" s="3" t="str" cm="1">
        <f t="array" ref="U38">myUpdate("net",6)</f>
        <v>Computer Networking 6 hours</v>
      </c>
      <c r="V38" s="4">
        <f>DATE(2022,2,26)</f>
        <v>43156</v>
      </c>
    </row>
    <row r="39" spans="13:22" ht="50.1" customHeight="1" x14ac:dyDescent="0.2">
      <c r="M39" s="1"/>
      <c r="N39" s="1"/>
      <c r="O39" s="1"/>
      <c r="P39" s="1"/>
      <c r="Q39" s="1"/>
      <c r="R39" s="3"/>
      <c r="S39" s="3" t="str" cm="1">
        <f t="array" ref="S39">myUpdate("db",2.25)</f>
        <v>Databases class 2.25 hours</v>
      </c>
      <c r="T39" s="3" t="str" cm="1">
        <f t="array" ref="T39">myUpdate("auto",2)</f>
        <v>Automations class 2 hours</v>
      </c>
      <c r="U39" s="3" t="str" cm="1">
        <f t="array" ref="U39">myUpdate("net",6)</f>
        <v>Computer Networking 6 hours</v>
      </c>
      <c r="V39" s="4">
        <f>DATE(2022,2,27)</f>
        <v>43157</v>
      </c>
    </row>
    <row r="40" spans="13:22" ht="50.1" customHeight="1" x14ac:dyDescent="0.2">
      <c r="M40" s="1"/>
      <c r="N40" s="1"/>
      <c r="O40" s="1"/>
      <c r="P40" s="1"/>
      <c r="Q40" s="1"/>
      <c r="R40" s="3"/>
      <c r="S40" s="3" t="str" cm="1">
        <f t="array" ref="S40">myUpdate("net",5)</f>
        <v>Computer Networking 5 hours</v>
      </c>
      <c r="T40" s="3" t="str" cm="1">
        <f t="array" ref="T40">myUpdate("algo2",2.5)</f>
        <v>algo2 2.5 hours</v>
      </c>
      <c r="U40" s="3" t="str" cm="1">
        <f t="array" ref="U40">myUpdate("prob2",1.5)</f>
        <v>prob2 1.5 hours</v>
      </c>
      <c r="V40" s="4">
        <f>DATE(2022,2,28)</f>
        <v>43158</v>
      </c>
    </row>
    <row r="41" spans="13:22" ht="50.1" customHeight="1" x14ac:dyDescent="0.2">
      <c r="M41" s="1"/>
      <c r="N41" s="1"/>
      <c r="O41" s="1"/>
      <c r="P41" s="1"/>
      <c r="Q41" s="1"/>
      <c r="R41" s="3"/>
      <c r="S41" s="3" t="str" cm="1">
        <f t="array" ref="S41">myUpdate("net",7)</f>
        <v>Computer Networking 7 hours</v>
      </c>
      <c r="T41" s="3" t="str" cm="1">
        <f t="array" ref="T41">myUpdate("prob2",3/4)</f>
        <v>prob2 0.75 hours</v>
      </c>
      <c r="U41" s="3" t="str" cm="1">
        <f t="array" ref="U41">myUpdate("auto",1.5)</f>
        <v>Automations class 1.5 hours</v>
      </c>
      <c r="V41" s="4">
        <f>DATE(2022,3,1)</f>
        <v>43159</v>
      </c>
    </row>
    <row r="42" spans="13:22" ht="50.1" customHeight="1" x14ac:dyDescent="0.2">
      <c r="M42" s="1"/>
      <c r="N42" s="1"/>
      <c r="O42" s="1"/>
      <c r="P42" s="1"/>
      <c r="Q42" s="1"/>
      <c r="R42" s="3"/>
      <c r="S42" s="3"/>
      <c r="T42" s="3"/>
      <c r="U42" s="3" t="str" cm="1">
        <f t="array" ref="U42">myUpdate("net",5.5)</f>
        <v>Computer Networking 5.5 hours</v>
      </c>
      <c r="V42" s="4">
        <f>DATE(2022,3,2)</f>
        <v>43160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ref="V42:V44" si="0">DATE(2022,2,16)</f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2022-03-02T03:42:01Z</dcterms:modified>
</cp:coreProperties>
</file>