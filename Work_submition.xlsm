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ECEB9460-D7DF-4921-9790-7F6F64D35E2F}" xr6:coauthVersionLast="47" xr6:coauthVersionMax="47" xr10:uidLastSave="{00000000-0000-0000-0000-000000000000}"/>
  <bookViews>
    <workbookView xWindow="-120" yWindow="-120" windowWidth="29040" windowHeight="15840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8" i="1" l="1"/>
  <c r="V37" i="1"/>
  <c r="V36" i="1"/>
  <c r="V35" i="1"/>
  <c r="V34" i="1"/>
  <c r="V33" i="1"/>
  <c r="V32" i="1"/>
  <c r="V31" i="1"/>
  <c r="V30" i="1"/>
  <c r="V29" i="1"/>
  <c r="V39" i="1"/>
  <c r="V40" i="1"/>
  <c r="V41" i="1"/>
  <c r="V42" i="1"/>
  <c r="V43" i="1"/>
  <c r="V4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T30" i="1" a="1"/>
  <c r="U31" i="1" a="1"/>
  <c r="T32" i="1" a="1"/>
  <c r="T33" i="1" a="1"/>
  <c r="U33" i="1" a="1"/>
  <c r="S33" i="1" a="1"/>
  <c r="U34" i="1" a="1"/>
  <c r="R33" i="1" a="1"/>
  <c r="T34" i="1" a="1"/>
  <c r="U35" i="1" a="1"/>
  <c r="T35" i="1" a="1"/>
  <c r="S36" i="1" a="1"/>
  <c r="T36" i="1" a="1"/>
  <c r="U36" i="1" a="1"/>
  <c r="U37" i="1" a="1"/>
  <c r="U38" i="1" a="1"/>
  <c r="U38" i="1" l="1"/>
  <c r="U37" i="1"/>
  <c r="S36" i="1"/>
  <c r="T36" i="1"/>
  <c r="U36" i="1"/>
  <c r="T35" i="1"/>
  <c r="U35" i="1"/>
  <c r="T34" i="1"/>
  <c r="U34" i="1"/>
  <c r="R33" i="1"/>
  <c r="S33" i="1"/>
  <c r="T33" i="1"/>
  <c r="U33" i="1"/>
  <c r="T32" i="1"/>
  <c r="U31" i="1"/>
  <c r="T30" i="1"/>
  <c r="U30" i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<sst xmlns="http://schemas.openxmlformats.org/spreadsheetml/2006/main" count="46" uniqueCount="41">
  <si>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</si>
  <si>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</si>
  <si>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</si>
  <si>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</si>
  <si>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</si>
  <si>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</si>
  <si>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</si>
  <si>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</si>
  <si>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</si>
  <si>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</si>
  <si>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</si>
  <si>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</si>
  <si>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</si>
  <si>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</si>
  <si>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</si>
  <si>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</si>
  <si>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</si>
  <si>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</si>
  <si>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</si>
  <si>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</si>
  <si>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</si>
  <si>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</si>
  <si>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</si>
  <si>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</si>
  <si>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</si>
  <si>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</si>
  <si>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</si>
  <si>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</si>
  <si>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</si>
  <si>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</si>
  <si>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</si>
  <si>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</si>
  <si>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</si>
  <si>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</si>
  <si>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</si>
  <si>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</si>
  <si>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</si>
  <si>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</si>
  <si>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</si>
  <si>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</si>
  <si>
    <t>3 hours probability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</si>
</sst>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P31" zoomScaleNormal="100" workbookViewId="0">
      <selection activeCell="T36" sqref="T36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5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5">
      <c r="M30" s="1"/>
      <c r="N30" s="1"/>
      <c r="O30" s="1"/>
      <c r="P30" s="1"/>
      <c r="Q30" s="1"/>
      <c r="R30" s="3"/>
      <c r="S30" s="3"/>
      <c r="T30" s="3" t="str" cm="1">
        <f t="array" ref="T30">myUpdate("prob",1)</f>
        <v>Probability 1 hours</v>
      </c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5">
      <c r="M31" s="1"/>
      <c r="N31" s="1"/>
      <c r="O31" s="1"/>
      <c r="P31" s="1"/>
      <c r="Q31" s="1"/>
      <c r="R31" s="3"/>
      <c r="S31" s="3"/>
      <c r="T31" s="3"/>
      <c r="U31" s="3" t="str" cm="1">
        <f t="array" ref="U31">myUpdate("prob",6)</f>
        <v>Probability 6 hours</v>
      </c>
      <c r="V31" s="4">
        <f>DATE(2022,2,19)</f>
        <v>43149</v>
      </c>
    </row>
    <row r="32" spans="13:22" ht="50.1" customHeight="1" x14ac:dyDescent="0.25">
      <c r="M32" s="1"/>
      <c r="N32" s="1"/>
      <c r="O32" s="1"/>
      <c r="P32" s="1"/>
      <c r="Q32" s="1"/>
      <c r="R32" s="3"/>
      <c r="S32" s="3"/>
      <c r="T32" s="3" t="str" cm="1">
        <f t="array" ref="T32">myUpdate("newProj",2)</f>
        <v>new Project 2 hours</v>
      </c>
      <c r="U32" s="3" t="s">
        <v>40</v>
      </c>
      <c r="V32" s="4">
        <f>DATE(2022,2,20)</f>
        <v>43150</v>
      </c>
    </row>
    <row r="33" spans="13:22" ht="50.1" customHeight="1" x14ac:dyDescent="0.25">
      <c r="M33" s="1"/>
      <c r="N33" s="1"/>
      <c r="O33" s="1"/>
      <c r="P33" s="1"/>
      <c r="Q33" s="1"/>
      <c r="R33" s="3" t="str" cm="1">
        <f t="array" ref="R33">myUpdate("bjj",1)</f>
        <v>Brazilian Jiu Jitsu 1 hours</v>
      </c>
      <c r="S33" s="3" t="str" cm="1">
        <f t="array" ref="S33">myUpdate("net",3)</f>
        <v>Computer Networking 3 hours</v>
      </c>
      <c r="T33" s="3" t="str" cm="1">
        <f t="array" ref="T33">myUpdate("newProj",3)</f>
        <v>new Project 3 hours</v>
      </c>
      <c r="U33" s="3" t="str" cm="1">
        <f t="array" ref="U33">myUpdate("hiit",0.5)</f>
        <v>HIIT workout 0.5 hours</v>
      </c>
      <c r="V33" s="4">
        <f>DATE(2022,2,21)</f>
        <v>43151</v>
      </c>
    </row>
    <row r="34" spans="13:22" ht="50.1" customHeight="1" x14ac:dyDescent="0.25">
      <c r="M34" s="1"/>
      <c r="N34" s="1"/>
      <c r="O34" s="1"/>
      <c r="P34" s="1"/>
      <c r="Q34" s="1"/>
      <c r="R34" s="3"/>
      <c r="S34" s="3"/>
      <c r="T34" s="3" t="str" cm="1">
        <f t="array" ref="T34">myUpdate("net",8)</f>
        <v>Computer Networking 8 hours</v>
      </c>
      <c r="U34" s="3" t="str" cm="1">
        <f t="array" ref="U34">myUpdate("Orientation conference",3)</f>
        <v>Orientation conference 3 hours</v>
      </c>
      <c r="V34" s="4">
        <f>DATE(2022,2,22)</f>
        <v>43152</v>
      </c>
    </row>
    <row r="35" spans="13:22" ht="50.1" customHeight="1" x14ac:dyDescent="0.25">
      <c r="M35" s="1"/>
      <c r="N35" s="1"/>
      <c r="O35" s="1"/>
      <c r="P35" s="1"/>
      <c r="Q35" s="1"/>
      <c r="R35" s="3"/>
      <c r="S35" s="3"/>
      <c r="T35" s="3" t="str" cm="1">
        <f t="array" ref="T35">myUpdate("wrestl",1)</f>
        <v>Wrestling practice 1 hours</v>
      </c>
      <c r="U35" s="3" t="str" cm="1">
        <f t="array" ref="U35">myUpdate("net",7)</f>
        <v>Computer Networking 7 hours</v>
      </c>
      <c r="V35" s="4">
        <f>DATE(2022,2,23)</f>
        <v>43153</v>
      </c>
    </row>
    <row r="36" spans="13:22" ht="50.1" customHeight="1" x14ac:dyDescent="0.25">
      <c r="M36" s="1"/>
      <c r="N36" s="1"/>
      <c r="O36" s="1"/>
      <c r="P36" s="1"/>
      <c r="Q36" s="1"/>
      <c r="R36" s="3"/>
      <c r="S36" s="3" t="str" cm="1">
        <f t="array" ref="S36">myUpdate("os",1.5)</f>
        <v>Operating Systems class 1.5 hours</v>
      </c>
      <c r="T36" s="3" t="str" cm="1">
        <f t="array" ref="T36">myUpdate("ss2",2.5)</f>
        <v>C++ class 2.5 hours</v>
      </c>
      <c r="U36" s="3" t="str" cm="1">
        <f t="array" ref="U36">myUpdate("his",1.5)</f>
        <v>Moreshet class 1.5 hours</v>
      </c>
      <c r="V36" s="4">
        <f>DATE(2022,2,24)</f>
        <v>43154</v>
      </c>
    </row>
    <row r="37" spans="13:22" ht="50.1" customHeight="1" x14ac:dyDescent="0.25">
      <c r="M37" s="1"/>
      <c r="N37" s="1"/>
      <c r="O37" s="1"/>
      <c r="P37" s="1"/>
      <c r="Q37" s="1"/>
      <c r="R37" s="3"/>
      <c r="S37" s="3"/>
      <c r="T37" s="3"/>
      <c r="U37" s="3" t="str" cm="1">
        <f t="array" ref="U37">myUpdate("net",2)</f>
        <v>Computer Networking 2 hours</v>
      </c>
      <c r="V37" s="4">
        <f>DATE(2022,2,25)</f>
        <v>43155</v>
      </c>
    </row>
    <row r="38" spans="13:22" ht="50.1" customHeight="1" x14ac:dyDescent="0.25">
      <c r="M38" s="1"/>
      <c r="N38" s="1"/>
      <c r="O38" s="1"/>
      <c r="P38" s="1"/>
      <c r="Q38" s="1"/>
      <c r="R38" s="3"/>
      <c r="S38" s="3"/>
      <c r="T38" s="3"/>
      <c r="U38" s="3" t="str" cm="1">
        <f t="array" ref="U38">myUpdate("net",6)</f>
        <v>Computer Networking 6 hours</v>
      </c>
      <c r="V38" s="4">
        <f>DATE(2022,2,26)</f>
        <v>43156</v>
      </c>
    </row>
    <row r="39" spans="13:22" ht="50.1" customHeight="1" x14ac:dyDescent="0.25">
      <c r="M39" s="1"/>
      <c r="N39" s="1"/>
      <c r="O39" s="1"/>
      <c r="P39" s="1"/>
      <c r="Q39" s="1"/>
      <c r="R39" s="1"/>
      <c r="S39" s="1"/>
      <c r="T39" s="1"/>
      <c r="U39" s="1"/>
      <c r="V39" s="4">
        <f t="shared" ref="V38:V44" si="0">DATE(2022,2,16)</f>
        <v>43146</v>
      </c>
    </row>
    <row r="40" spans="13:22" ht="50.1" customHeight="1" x14ac:dyDescent="0.25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5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5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5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5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2022-02-26T20:15:25Z</dcterms:modified>
</cp:coreProperties>
</file>